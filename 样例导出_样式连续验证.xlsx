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60" tabRatio="600" firstSheet="0" activeTab="0" autoFilterDateGrouping="1"/>
  </bookViews>
  <sheets>
    <sheet name="绩效表" sheetId="1" state="visible" r:id="rId1"/>
    <sheet name="W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30">
    <font>
      <name val="Calibri"/>
      <charset val="134"/>
      <color theme="1"/>
      <sz val="11"/>
    </font>
    <font>
      <name val="宋体-简"/>
      <charset val="134"/>
      <color theme="1"/>
      <sz val="11"/>
    </font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charset val="134"/>
      <color theme="1"/>
      <sz val="10"/>
    </font>
    <font>
      <name val="微软雅黑"/>
      <charset val="134"/>
      <b val="1"/>
      <color rgb="FF1F2329"/>
      <sz val="10"/>
    </font>
    <font>
      <name val="微软雅黑"/>
      <charset val="134"/>
      <color rgb="FFFF0000"/>
      <sz val="10"/>
    </font>
    <font>
      <name val="微软雅黑"/>
      <charset val="134"/>
      <b val="1"/>
      <sz val="10"/>
    </font>
    <font>
      <name val="等线"/>
      <charset val="134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" fillId="7" borderId="1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1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8" fillId="0" borderId="0" applyAlignment="1">
      <alignment vertical="center"/>
    </xf>
    <xf numFmtId="0" fontId="19" fillId="8" borderId="13" applyAlignment="1">
      <alignment vertical="center"/>
    </xf>
    <xf numFmtId="0" fontId="20" fillId="9" borderId="14" applyAlignment="1">
      <alignment vertical="center"/>
    </xf>
    <xf numFmtId="0" fontId="21" fillId="9" borderId="13" applyAlignment="1">
      <alignment vertical="center"/>
    </xf>
    <xf numFmtId="0" fontId="22" fillId="10" borderId="15" applyAlignment="1">
      <alignment vertical="center"/>
    </xf>
    <xf numFmtId="0" fontId="23" fillId="0" borderId="16" applyAlignment="1">
      <alignment vertical="center"/>
    </xf>
    <xf numFmtId="0" fontId="24" fillId="0" borderId="17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</cellStyleXfs>
  <cellXfs count="4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4" fillId="5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6" fillId="5" borderId="7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5" fontId="8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64" fontId="2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0" fillId="0" borderId="4" pivotButton="0" quotePrefix="0" xfId="0"/>
    <xf numFmtId="164" fontId="4" fillId="5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workbookViewId="0">
      <selection activeCell="T39" sqref="T39"/>
    </sheetView>
  </sheetViews>
  <sheetFormatPr baseColWidth="8" defaultColWidth="9" defaultRowHeight="16.8"/>
  <cols>
    <col width="13" customWidth="1" style="6" min="1" max="1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</cols>
  <sheetData>
    <row r="1" s="6">
      <c r="A1" s="7" t="inlineStr">
        <is>
          <t>综合绩效</t>
        </is>
      </c>
      <c r="B1" s="33" t="n"/>
      <c r="C1" s="34" t="n"/>
      <c r="D1" s="9" t="n"/>
      <c r="E1" s="9" t="n"/>
      <c r="F1" s="35" t="n"/>
      <c r="G1" s="9" t="n"/>
    </row>
    <row r="2" s="6">
      <c r="A2" s="36" t="inlineStr">
        <is>
          <t>客服</t>
        </is>
      </c>
      <c r="B2" s="11" t="inlineStr">
        <is>
          <t>W1</t>
        </is>
      </c>
      <c r="E2" s="11" t="n"/>
    </row>
    <row r="3" s="6">
      <c r="A3" s="37" t="n"/>
      <c r="B3" s="13" t="inlineStr">
        <is>
          <t>工时</t>
        </is>
      </c>
      <c r="C3" s="14" t="inlineStr">
        <is>
          <t>出勤</t>
        </is>
      </c>
      <c r="D3" s="14" t="inlineStr">
        <is>
          <t>超激励奖励</t>
        </is>
      </c>
      <c r="E3" s="22" t="inlineStr">
        <is>
          <t>绩效达成W1</t>
        </is>
      </c>
      <c r="F3" s="27" t="inlineStr">
        <is>
          <t>平均绩效系数</t>
        </is>
      </c>
      <c r="G3" s="27" t="inlineStr">
        <is>
          <t>超激励绩效</t>
        </is>
      </c>
    </row>
    <row r="4" s="6">
      <c r="A4" s="15" t="inlineStr">
        <is>
          <t>客服1</t>
        </is>
      </c>
      <c r="B4" s="38" t="n">
        <v>961.1999999999999</v>
      </c>
      <c r="C4" s="38" t="n">
        <v>5</v>
      </c>
      <c r="D4" s="38" t="n">
        <v>25</v>
      </c>
      <c r="E4" s="39">
        <f>IF(C4*480=0,0,B4/(C4*480))</f>
        <v/>
      </c>
      <c r="F4" s="40">
        <f>IFERROR(AVERAGE(E4),0)</f>
        <v/>
      </c>
      <c r="G4" s="40">
        <f>SUM(D4)</f>
        <v/>
      </c>
    </row>
    <row r="5" s="6">
      <c r="A5" s="15" t="inlineStr">
        <is>
          <t>客服10</t>
        </is>
      </c>
      <c r="B5" s="38" t="n">
        <v>972</v>
      </c>
      <c r="C5" s="38" t="n">
        <v>5</v>
      </c>
      <c r="D5" s="38" t="n">
        <v>25</v>
      </c>
      <c r="E5" s="39">
        <f>IF(C5*480=0,0,B5/(C5*480))</f>
        <v/>
      </c>
      <c r="F5" s="40">
        <f>IFERROR(AVERAGE(E5),0)</f>
        <v/>
      </c>
      <c r="G5" s="40">
        <f>SUM(D5)</f>
        <v/>
      </c>
    </row>
    <row r="6" s="6">
      <c r="A6" s="15" t="inlineStr">
        <is>
          <t>客服11</t>
        </is>
      </c>
      <c r="B6" s="38" t="n">
        <v>973.1999999999999</v>
      </c>
      <c r="C6" s="38" t="n">
        <v>5</v>
      </c>
      <c r="D6" s="38" t="n">
        <v>25</v>
      </c>
      <c r="E6" s="39">
        <f>IF(C6*480=0,0,B6/(C6*480))</f>
        <v/>
      </c>
      <c r="F6" s="40">
        <f>IFERROR(AVERAGE(E6),0)</f>
        <v/>
      </c>
      <c r="G6" s="40">
        <f>SUM(D6)</f>
        <v/>
      </c>
    </row>
    <row r="7" s="6">
      <c r="A7" s="15" t="inlineStr">
        <is>
          <t>客服12</t>
        </is>
      </c>
      <c r="B7" s="38" t="n">
        <v>974.4</v>
      </c>
      <c r="C7" s="38" t="n">
        <v>5</v>
      </c>
      <c r="D7" s="38" t="n">
        <v>25</v>
      </c>
      <c r="E7" s="39">
        <f>IF(C7*480=0,0,B7/(C7*480))</f>
        <v/>
      </c>
      <c r="F7" s="40">
        <f>IFERROR(AVERAGE(E7),0)</f>
        <v/>
      </c>
      <c r="G7" s="40">
        <f>SUM(D7)</f>
        <v/>
      </c>
    </row>
    <row r="8" s="6">
      <c r="A8" s="15" t="inlineStr">
        <is>
          <t>客服13</t>
        </is>
      </c>
      <c r="B8" s="38" t="n">
        <v>975.5999999999999</v>
      </c>
      <c r="C8" s="38" t="n">
        <v>5</v>
      </c>
      <c r="D8" s="38" t="n">
        <v>25</v>
      </c>
      <c r="E8" s="39">
        <f>IF(C8*480=0,0,B8/(C8*480))</f>
        <v/>
      </c>
      <c r="F8" s="40">
        <f>IFERROR(AVERAGE(E8),0)</f>
        <v/>
      </c>
      <c r="G8" s="40">
        <f>SUM(D8)</f>
        <v/>
      </c>
    </row>
    <row r="9" s="6">
      <c r="A9" s="15" t="inlineStr">
        <is>
          <t>客服14</t>
        </is>
      </c>
      <c r="B9" s="38" t="n">
        <v>976.8</v>
      </c>
      <c r="C9" s="38" t="n">
        <v>5</v>
      </c>
      <c r="D9" s="38" t="n">
        <v>25</v>
      </c>
      <c r="E9" s="39">
        <f>IF(C9*480=0,0,B9/(C9*480))</f>
        <v/>
      </c>
      <c r="F9" s="40">
        <f>IFERROR(AVERAGE(E9),0)</f>
        <v/>
      </c>
      <c r="G9" s="40">
        <f>SUM(D9)</f>
        <v/>
      </c>
    </row>
    <row r="10" s="6">
      <c r="A10" s="15" t="inlineStr">
        <is>
          <t>客服15</t>
        </is>
      </c>
      <c r="B10" s="38" t="n">
        <v>978</v>
      </c>
      <c r="C10" s="38" t="n">
        <v>5</v>
      </c>
      <c r="D10" s="38" t="n">
        <v>25</v>
      </c>
      <c r="E10" s="39">
        <f>IF(C10*480=0,0,B10/(C10*480))</f>
        <v/>
      </c>
      <c r="F10" s="40">
        <f>IFERROR(AVERAGE(E10),0)</f>
        <v/>
      </c>
      <c r="G10" s="40">
        <f>SUM(D10)</f>
        <v/>
      </c>
    </row>
    <row r="11" s="6">
      <c r="A11" s="15" t="inlineStr">
        <is>
          <t>客服16</t>
        </is>
      </c>
      <c r="B11" s="38" t="n">
        <v>979.1999999999999</v>
      </c>
      <c r="C11" s="38" t="n">
        <v>5</v>
      </c>
      <c r="D11" s="38" t="n">
        <v>25</v>
      </c>
      <c r="E11" s="39">
        <f>IF(C11*480=0,0,B11/(C11*480))</f>
        <v/>
      </c>
      <c r="F11" s="40">
        <f>IFERROR(AVERAGE(E11),0)</f>
        <v/>
      </c>
      <c r="G11" s="40">
        <f>SUM(D11)</f>
        <v/>
      </c>
    </row>
    <row r="12" s="6">
      <c r="A12" s="15" t="inlineStr">
        <is>
          <t>客服17</t>
        </is>
      </c>
      <c r="B12" s="38" t="n">
        <v>980.4</v>
      </c>
      <c r="C12" s="38" t="n">
        <v>5</v>
      </c>
      <c r="D12" s="38" t="n">
        <v>25</v>
      </c>
      <c r="E12" s="39">
        <f>IF(C12*480=0,0,B12/(C12*480))</f>
        <v/>
      </c>
      <c r="F12" s="40">
        <f>IFERROR(AVERAGE(E12),0)</f>
        <v/>
      </c>
      <c r="G12" s="40">
        <f>SUM(D12)</f>
        <v/>
      </c>
    </row>
    <row r="13" s="6">
      <c r="A13" s="15" t="inlineStr">
        <is>
          <t>客服18</t>
        </is>
      </c>
      <c r="B13" s="38" t="n">
        <v>981.5999999999999</v>
      </c>
      <c r="C13" s="38" t="n">
        <v>5</v>
      </c>
      <c r="D13" s="38" t="n">
        <v>25</v>
      </c>
      <c r="E13" s="39">
        <f>IF(C13*480=0,0,B13/(C13*480))</f>
        <v/>
      </c>
      <c r="F13" s="40">
        <f>IFERROR(AVERAGE(E13),0)</f>
        <v/>
      </c>
      <c r="G13" s="40">
        <f>SUM(D13)</f>
        <v/>
      </c>
    </row>
    <row r="14" s="6">
      <c r="A14" s="15" t="inlineStr">
        <is>
          <t>客服19</t>
        </is>
      </c>
      <c r="B14" s="38" t="n">
        <v>982.8</v>
      </c>
      <c r="C14" s="38" t="n">
        <v>5</v>
      </c>
      <c r="D14" s="38" t="n">
        <v>25</v>
      </c>
      <c r="E14" s="39">
        <f>IF(C14*480=0,0,B14/(C14*480))</f>
        <v/>
      </c>
      <c r="F14" s="40">
        <f>IFERROR(AVERAGE(E14),0)</f>
        <v/>
      </c>
      <c r="G14" s="40">
        <f>SUM(D14)</f>
        <v/>
      </c>
    </row>
    <row r="15" s="6">
      <c r="A15" s="15" t="inlineStr">
        <is>
          <t>客服2</t>
        </is>
      </c>
      <c r="B15" s="38" t="n">
        <v>962.4</v>
      </c>
      <c r="C15" s="38" t="n">
        <v>5</v>
      </c>
      <c r="D15" s="38" t="n">
        <v>25</v>
      </c>
      <c r="E15" s="39">
        <f>IF(C15*480=0,0,B15/(C15*480))</f>
        <v/>
      </c>
      <c r="F15" s="40">
        <f>IFERROR(AVERAGE(E15),0)</f>
        <v/>
      </c>
      <c r="G15" s="40">
        <f>SUM(D15)</f>
        <v/>
      </c>
    </row>
    <row r="16" s="6">
      <c r="A16" s="15" t="inlineStr">
        <is>
          <t>客服20</t>
        </is>
      </c>
      <c r="B16" s="38" t="n">
        <v>984</v>
      </c>
      <c r="C16" s="38" t="n">
        <v>5</v>
      </c>
      <c r="D16" s="38" t="n">
        <v>25</v>
      </c>
      <c r="E16" s="39">
        <f>IF(C16*480=0,0,B16/(C16*480))</f>
        <v/>
      </c>
      <c r="F16" s="40">
        <f>IFERROR(AVERAGE(E16),0)</f>
        <v/>
      </c>
      <c r="G16" s="40">
        <f>SUM(D16)</f>
        <v/>
      </c>
    </row>
    <row r="17" s="6">
      <c r="A17" s="15" t="inlineStr">
        <is>
          <t>客服21</t>
        </is>
      </c>
      <c r="B17" s="38" t="n">
        <v>985.1999999999999</v>
      </c>
      <c r="C17" s="38" t="n">
        <v>5</v>
      </c>
      <c r="D17" s="38" t="n">
        <v>25</v>
      </c>
      <c r="E17" s="39">
        <f>IF(C17*480=0,0,B17/(C17*480))</f>
        <v/>
      </c>
      <c r="F17" s="40">
        <f>IFERROR(AVERAGE(E17),0)</f>
        <v/>
      </c>
      <c r="G17" s="40">
        <f>SUM(D17)</f>
        <v/>
      </c>
    </row>
    <row r="18" s="6">
      <c r="A18" s="15" t="inlineStr">
        <is>
          <t>客服22</t>
        </is>
      </c>
      <c r="B18" s="38" t="n">
        <v>986.4</v>
      </c>
      <c r="C18" s="38" t="n">
        <v>5</v>
      </c>
      <c r="D18" s="38" t="n">
        <v>25</v>
      </c>
      <c r="E18" s="39">
        <f>IF(C18*480=0,0,B18/(C18*480))</f>
        <v/>
      </c>
      <c r="F18" s="40">
        <f>IFERROR(AVERAGE(E18),0)</f>
        <v/>
      </c>
      <c r="G18" s="40">
        <f>SUM(D18)</f>
        <v/>
      </c>
    </row>
    <row r="19" s="6">
      <c r="A19" s="15" t="inlineStr">
        <is>
          <t>客服23</t>
        </is>
      </c>
      <c r="B19" s="38" t="n">
        <v>987.5999999999999</v>
      </c>
      <c r="C19" s="38" t="n">
        <v>5</v>
      </c>
      <c r="D19" s="38" t="n">
        <v>25</v>
      </c>
      <c r="E19" s="39">
        <f>IF(C19*480=0,0,B19/(C19*480))</f>
        <v/>
      </c>
      <c r="F19" s="40">
        <f>IFERROR(AVERAGE(E19),0)</f>
        <v/>
      </c>
      <c r="G19" s="40">
        <f>SUM(D19)</f>
        <v/>
      </c>
    </row>
    <row r="20" s="6">
      <c r="A20" s="15" t="inlineStr">
        <is>
          <t>客服24</t>
        </is>
      </c>
      <c r="B20" s="38" t="n">
        <v>988.8</v>
      </c>
      <c r="C20" s="38" t="n">
        <v>5</v>
      </c>
      <c r="D20" s="38" t="n">
        <v>25</v>
      </c>
      <c r="E20" s="39">
        <f>IF(C20*480=0,0,B20/(C20*480))</f>
        <v/>
      </c>
      <c r="F20" s="40">
        <f>IFERROR(AVERAGE(E20),0)</f>
        <v/>
      </c>
      <c r="G20" s="40">
        <f>SUM(D20)</f>
        <v/>
      </c>
    </row>
    <row r="21" s="6">
      <c r="A21" s="15" t="inlineStr">
        <is>
          <t>客服25</t>
        </is>
      </c>
      <c r="B21" s="38" t="n">
        <v>990</v>
      </c>
      <c r="C21" s="38" t="n">
        <v>5</v>
      </c>
      <c r="D21" s="38" t="n">
        <v>25</v>
      </c>
      <c r="E21" s="39">
        <f>IF(C21*480=0,0,B21/(C21*480))</f>
        <v/>
      </c>
      <c r="F21" s="40">
        <f>IFERROR(AVERAGE(E21),0)</f>
        <v/>
      </c>
      <c r="G21" s="40">
        <f>SUM(D21)</f>
        <v/>
      </c>
    </row>
    <row r="22" s="6">
      <c r="A22" s="15" t="inlineStr">
        <is>
          <t>客服26</t>
        </is>
      </c>
      <c r="B22" s="38" t="n">
        <v>991.1999999999999</v>
      </c>
      <c r="C22" s="38" t="n">
        <v>5</v>
      </c>
      <c r="D22" s="38" t="n">
        <v>25</v>
      </c>
      <c r="E22" s="39">
        <f>IF(C22*480=0,0,B22/(C22*480))</f>
        <v/>
      </c>
      <c r="F22" s="40">
        <f>IFERROR(AVERAGE(E22),0)</f>
        <v/>
      </c>
      <c r="G22" s="40">
        <f>SUM(D22)</f>
        <v/>
      </c>
    </row>
    <row r="23" s="6">
      <c r="A23" s="15" t="inlineStr">
        <is>
          <t>客服27</t>
        </is>
      </c>
      <c r="B23" s="38" t="n">
        <v>992.4</v>
      </c>
      <c r="C23" s="38" t="n">
        <v>5</v>
      </c>
      <c r="D23" s="38" t="n">
        <v>25</v>
      </c>
      <c r="E23" s="39">
        <f>IF(C23*480=0,0,B23/(C23*480))</f>
        <v/>
      </c>
      <c r="F23" s="40">
        <f>IFERROR(AVERAGE(E23),0)</f>
        <v/>
      </c>
      <c r="G23" s="40">
        <f>SUM(D23)</f>
        <v/>
      </c>
    </row>
    <row r="24" s="6">
      <c r="A24" s="15" t="inlineStr">
        <is>
          <t>客服28</t>
        </is>
      </c>
      <c r="B24" s="38" t="n">
        <v>993.5999999999999</v>
      </c>
      <c r="C24" s="38" t="n">
        <v>5</v>
      </c>
      <c r="D24" s="38" t="n">
        <v>25</v>
      </c>
      <c r="E24" s="39">
        <f>IF(C24*480=0,0,B24/(C24*480))</f>
        <v/>
      </c>
      <c r="F24" s="40">
        <f>IFERROR(AVERAGE(E24),0)</f>
        <v/>
      </c>
      <c r="G24" s="40">
        <f>SUM(D24)</f>
        <v/>
      </c>
    </row>
    <row r="25">
      <c r="A25" s="15" t="inlineStr">
        <is>
          <t>客服29</t>
        </is>
      </c>
      <c r="B25" s="38" t="n">
        <v>994.8</v>
      </c>
      <c r="C25" s="38" t="n">
        <v>5</v>
      </c>
      <c r="D25" s="38" t="n">
        <v>25</v>
      </c>
      <c r="E25" s="39">
        <f>IF(C25*480=0,0,B25/(C25*480))</f>
        <v/>
      </c>
      <c r="F25" s="40">
        <f>IFERROR(AVERAGE(E25),0)</f>
        <v/>
      </c>
      <c r="G25" s="40">
        <f>SUM(D25)</f>
        <v/>
      </c>
    </row>
    <row r="26" s="6">
      <c r="A26" s="15" t="inlineStr">
        <is>
          <t>客服3</t>
        </is>
      </c>
      <c r="B26" s="38" t="n">
        <v>963.5999999999999</v>
      </c>
      <c r="C26" s="38" t="n">
        <v>5</v>
      </c>
      <c r="D26" s="38" t="n">
        <v>25</v>
      </c>
      <c r="E26" s="39">
        <f>IF(C26*480=0,0,B26/(C26*480))</f>
        <v/>
      </c>
      <c r="F26" s="40">
        <f>IFERROR(AVERAGE(E26),0)</f>
        <v/>
      </c>
      <c r="G26" s="40">
        <f>SUM(D26)</f>
        <v/>
      </c>
    </row>
    <row r="27" s="6">
      <c r="A27" s="15" t="inlineStr">
        <is>
          <t>客服30</t>
        </is>
      </c>
      <c r="B27" s="38" t="n">
        <v>996</v>
      </c>
      <c r="C27" s="38" t="n">
        <v>5</v>
      </c>
      <c r="D27" s="38" t="n">
        <v>25</v>
      </c>
      <c r="E27" s="39">
        <f>IF(C27*480=0,0,B27/(C27*480))</f>
        <v/>
      </c>
      <c r="F27" s="40">
        <f>IFERROR(AVERAGE(E27),0)</f>
        <v/>
      </c>
      <c r="G27" s="40">
        <f>SUM(D27)</f>
        <v/>
      </c>
    </row>
    <row r="28" s="6">
      <c r="A28" s="15" t="inlineStr">
        <is>
          <t>客服31</t>
        </is>
      </c>
      <c r="B28" s="38" t="n">
        <v>997.1999999999999</v>
      </c>
      <c r="C28" s="38" t="n">
        <v>5</v>
      </c>
      <c r="D28" s="38" t="n">
        <v>25</v>
      </c>
      <c r="E28" s="39">
        <f>IF(C28*480=0,0,B28/(C28*480))</f>
        <v/>
      </c>
      <c r="F28" s="40">
        <f>IFERROR(AVERAGE(E28),0)</f>
        <v/>
      </c>
      <c r="G28" s="40">
        <f>SUM(D28)</f>
        <v/>
      </c>
    </row>
    <row r="29" s="6">
      <c r="A29" s="15" t="inlineStr">
        <is>
          <t>客服32</t>
        </is>
      </c>
      <c r="B29" s="38" t="n">
        <v>998.4</v>
      </c>
      <c r="C29" s="38" t="n">
        <v>5</v>
      </c>
      <c r="D29" s="38" t="n">
        <v>25</v>
      </c>
      <c r="E29" s="39">
        <f>IF(C29*480=0,0,B29/(C29*480))</f>
        <v/>
      </c>
      <c r="F29" s="40">
        <f>IFERROR(AVERAGE(E29),0)</f>
        <v/>
      </c>
      <c r="G29" s="40">
        <f>SUM(D29)</f>
        <v/>
      </c>
    </row>
    <row r="30" s="6">
      <c r="A30" s="15" t="inlineStr">
        <is>
          <t>客服33</t>
        </is>
      </c>
      <c r="B30" s="38" t="n">
        <v>999.5999999999999</v>
      </c>
      <c r="C30" s="38" t="n">
        <v>5</v>
      </c>
      <c r="D30" s="38" t="n">
        <v>25</v>
      </c>
      <c r="E30" s="39">
        <f>IF(C30*480=0,0,B30/(C30*480))</f>
        <v/>
      </c>
      <c r="F30" s="40">
        <f>IFERROR(AVERAGE(E30),0)</f>
        <v/>
      </c>
      <c r="G30" s="40">
        <f>SUM(D30)</f>
        <v/>
      </c>
    </row>
    <row r="31" s="6">
      <c r="A31" s="15" t="inlineStr">
        <is>
          <t>客服34</t>
        </is>
      </c>
      <c r="B31" s="38" t="n">
        <v>1000.8</v>
      </c>
      <c r="C31" s="38" t="n">
        <v>5</v>
      </c>
      <c r="D31" s="38" t="n">
        <v>25</v>
      </c>
      <c r="E31" s="39">
        <f>IF(C31*480=0,0,B31/(C31*480))</f>
        <v/>
      </c>
      <c r="F31" s="40">
        <f>IFERROR(AVERAGE(E31),0)</f>
        <v/>
      </c>
      <c r="G31" s="40">
        <f>SUM(D31)</f>
        <v/>
      </c>
    </row>
    <row r="32" s="6">
      <c r="A32" s="15" t="inlineStr">
        <is>
          <t>客服35</t>
        </is>
      </c>
      <c r="B32" s="38" t="n">
        <v>1002</v>
      </c>
      <c r="C32" s="38" t="n">
        <v>5</v>
      </c>
      <c r="D32" s="38" t="n">
        <v>25</v>
      </c>
      <c r="E32" s="39">
        <f>IF(C32*480=0,0,B32/(C32*480))</f>
        <v/>
      </c>
      <c r="F32" s="40">
        <f>IFERROR(AVERAGE(E32),0)</f>
        <v/>
      </c>
      <c r="G32" s="40">
        <f>SUM(D32)</f>
        <v/>
      </c>
    </row>
    <row r="33" s="6">
      <c r="A33" s="15" t="inlineStr">
        <is>
          <t>客服36</t>
        </is>
      </c>
      <c r="B33" s="38" t="n">
        <v>1003.2</v>
      </c>
      <c r="C33" s="38" t="n">
        <v>5</v>
      </c>
      <c r="D33" s="38" t="n">
        <v>25</v>
      </c>
      <c r="E33" s="39">
        <f>IF(C33*480=0,0,B33/(C33*480))</f>
        <v/>
      </c>
      <c r="F33" s="40">
        <f>IFERROR(AVERAGE(E33),0)</f>
        <v/>
      </c>
      <c r="G33" s="40">
        <f>SUM(D33)</f>
        <v/>
      </c>
    </row>
    <row r="34" s="6">
      <c r="A34" s="15" t="inlineStr">
        <is>
          <t>客服37</t>
        </is>
      </c>
      <c r="B34" s="38" t="n">
        <v>1004.4</v>
      </c>
      <c r="C34" s="38" t="n">
        <v>5</v>
      </c>
      <c r="D34" s="38" t="n">
        <v>25</v>
      </c>
      <c r="E34" s="39">
        <f>IF(C34*480=0,0,B34/(C34*480))</f>
        <v/>
      </c>
      <c r="F34" s="40">
        <f>IFERROR(AVERAGE(E34),0)</f>
        <v/>
      </c>
      <c r="G34" s="40">
        <f>SUM(D34)</f>
        <v/>
      </c>
    </row>
    <row r="35" s="6">
      <c r="A35" s="15" t="inlineStr">
        <is>
          <t>客服38</t>
        </is>
      </c>
      <c r="B35" s="38" t="n">
        <v>1005.6</v>
      </c>
      <c r="C35" s="38" t="n">
        <v>5</v>
      </c>
      <c r="D35" s="38" t="n">
        <v>25</v>
      </c>
      <c r="E35" s="39">
        <f>IF(C35*480=0,0,B35/(C35*480))</f>
        <v/>
      </c>
      <c r="F35" s="40">
        <f>IFERROR(AVERAGE(E35),0)</f>
        <v/>
      </c>
      <c r="G35" s="40">
        <f>SUM(D35)</f>
        <v/>
      </c>
    </row>
    <row r="36" s="6">
      <c r="A36" s="15" t="inlineStr">
        <is>
          <t>客服39</t>
        </is>
      </c>
      <c r="B36" s="38" t="n">
        <v>1006.8</v>
      </c>
      <c r="C36" s="38" t="n">
        <v>5</v>
      </c>
      <c r="D36" s="38" t="n">
        <v>25</v>
      </c>
      <c r="E36" s="39">
        <f>IF(C36*480=0,0,B36/(C36*480))</f>
        <v/>
      </c>
      <c r="F36" s="40">
        <f>IFERROR(AVERAGE(E36),0)</f>
        <v/>
      </c>
      <c r="G36" s="40">
        <f>SUM(D36)</f>
        <v/>
      </c>
    </row>
    <row r="37" s="6">
      <c r="A37" s="15" t="inlineStr">
        <is>
          <t>客服4</t>
        </is>
      </c>
      <c r="B37" s="38" t="n">
        <v>964.8</v>
      </c>
      <c r="C37" s="38" t="n">
        <v>5</v>
      </c>
      <c r="D37" s="38" t="n">
        <v>25</v>
      </c>
      <c r="E37" s="39">
        <f>IF(C37*480=0,0,B37/(C37*480))</f>
        <v/>
      </c>
      <c r="F37" s="40">
        <f>IFERROR(AVERAGE(E37),0)</f>
        <v/>
      </c>
      <c r="G37" s="40">
        <f>SUM(D37)</f>
        <v/>
      </c>
    </row>
    <row r="38" s="6">
      <c r="A38" s="15" t="inlineStr">
        <is>
          <t>客服5</t>
        </is>
      </c>
      <c r="B38" s="38" t="n">
        <v>966</v>
      </c>
      <c r="C38" s="38" t="n">
        <v>5</v>
      </c>
      <c r="D38" s="38" t="n">
        <v>25</v>
      </c>
      <c r="E38" s="39">
        <f>IF(C38*480=0,0,B38/(C38*480))</f>
        <v/>
      </c>
      <c r="F38" s="40">
        <f>IFERROR(AVERAGE(E38),0)</f>
        <v/>
      </c>
      <c r="G38" s="40">
        <f>SUM(D38)</f>
        <v/>
      </c>
    </row>
    <row r="39" s="6">
      <c r="A39" s="15" t="inlineStr">
        <is>
          <t>客服6</t>
        </is>
      </c>
      <c r="B39" s="38" t="n">
        <v>967.1999999999999</v>
      </c>
      <c r="C39" s="38" t="n">
        <v>5</v>
      </c>
      <c r="D39" s="38" t="n">
        <v>25</v>
      </c>
      <c r="E39" s="39">
        <f>IF(C39*480=0,0,B39/(C39*480))</f>
        <v/>
      </c>
      <c r="F39" s="40">
        <f>IFERROR(AVERAGE(E39),0)</f>
        <v/>
      </c>
      <c r="G39" s="40">
        <f>SUM(D39)</f>
        <v/>
      </c>
    </row>
    <row r="40" s="6">
      <c r="A40" s="15" t="inlineStr">
        <is>
          <t>客服7</t>
        </is>
      </c>
      <c r="B40" s="38" t="n">
        <v>968.4</v>
      </c>
      <c r="C40" s="38" t="n">
        <v>5</v>
      </c>
      <c r="D40" s="38" t="n">
        <v>25</v>
      </c>
      <c r="E40" s="39">
        <f>IF(C40*480=0,0,B40/(C40*480))</f>
        <v/>
      </c>
      <c r="F40" s="40">
        <f>IFERROR(AVERAGE(E40),0)</f>
        <v/>
      </c>
      <c r="G40" s="40">
        <f>SUM(D40)</f>
        <v/>
      </c>
    </row>
    <row r="41">
      <c r="A41" s="15" t="inlineStr">
        <is>
          <t>客服8</t>
        </is>
      </c>
      <c r="B41" s="38" t="n">
        <v>969.5999999999999</v>
      </c>
      <c r="C41" s="38" t="n">
        <v>5</v>
      </c>
      <c r="D41" s="38" t="n">
        <v>25</v>
      </c>
      <c r="E41" s="39">
        <f>IF(C41*480=0,0,B41/(C41*480))</f>
        <v/>
      </c>
      <c r="F41" s="40">
        <f>IFERROR(AVERAGE(E41),0)</f>
        <v/>
      </c>
      <c r="G41" s="40">
        <f>SUM(D41)</f>
        <v/>
      </c>
    </row>
    <row r="42">
      <c r="A42" s="15" t="inlineStr">
        <is>
          <t>客服9</t>
        </is>
      </c>
      <c r="B42" s="38" t="n">
        <v>970.8</v>
      </c>
      <c r="C42" s="38" t="n">
        <v>5</v>
      </c>
      <c r="D42" s="38" t="n">
        <v>25</v>
      </c>
      <c r="E42" s="39">
        <f>IF(C42*480=0,0,B42/(C42*480))</f>
        <v/>
      </c>
      <c r="F42" s="40">
        <f>IFERROR(AVERAGE(E42),0)</f>
        <v/>
      </c>
      <c r="G42" s="40">
        <f>SUM(D42)</f>
        <v/>
      </c>
    </row>
  </sheetData>
  <mergeCells count="3">
    <mergeCell ref="A1:C1"/>
    <mergeCell ref="B2:D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3" sqref="B3:G30"/>
    </sheetView>
  </sheetViews>
  <sheetFormatPr baseColWidth="8" defaultColWidth="9" defaultRowHeight="16.8"/>
  <sheetData>
    <row r="1" ht="17" customHeight="1" s="6">
      <c r="A1" s="1" t="inlineStr">
        <is>
          <t>3月1日-3月7日</t>
        </is>
      </c>
      <c r="B1" s="41" t="n"/>
      <c r="C1" s="41" t="n"/>
      <c r="D1" s="41" t="n"/>
      <c r="E1" s="41" t="n"/>
      <c r="F1" s="41" t="n"/>
      <c r="G1" s="42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 s="6">
      <c r="A3" s="3" t="inlineStr">
        <is>
          <t>客服1</t>
        </is>
      </c>
      <c r="B3" s="3" t="n">
        <v>801</v>
      </c>
      <c r="C3" s="3" t="inlineStr">
        <is>
          <t>A</t>
        </is>
      </c>
      <c r="D3" s="3" t="n">
        <v>961.1999999999999</v>
      </c>
      <c r="E3" s="3" t="n">
        <v>5</v>
      </c>
      <c r="F3" s="4" t="n">
        <v>-1600</v>
      </c>
      <c r="G3" s="5" t="n">
        <v>25</v>
      </c>
    </row>
    <row r="4" s="6">
      <c r="A4" s="3" t="inlineStr">
        <is>
          <t>客服10</t>
        </is>
      </c>
      <c r="B4" s="3" t="n">
        <v>810</v>
      </c>
      <c r="C4" s="3" t="inlineStr">
        <is>
          <t>A</t>
        </is>
      </c>
      <c r="D4" s="3" t="n">
        <v>972</v>
      </c>
      <c r="E4" s="3" t="n">
        <v>5</v>
      </c>
      <c r="F4" s="4" t="n">
        <v>-1600</v>
      </c>
      <c r="G4" s="5" t="n">
        <v>25</v>
      </c>
    </row>
    <row r="5" s="6">
      <c r="A5" s="3" t="inlineStr">
        <is>
          <t>客服11</t>
        </is>
      </c>
      <c r="B5" s="3" t="n">
        <v>811</v>
      </c>
      <c r="C5" s="3" t="inlineStr">
        <is>
          <t>A</t>
        </is>
      </c>
      <c r="D5" s="3" t="n">
        <v>973.1999999999999</v>
      </c>
      <c r="E5" s="3" t="n">
        <v>5</v>
      </c>
      <c r="F5" s="4" t="n">
        <v>-1600</v>
      </c>
      <c r="G5" s="5" t="n">
        <v>25</v>
      </c>
    </row>
    <row r="6" s="6">
      <c r="A6" s="3" t="inlineStr">
        <is>
          <t>客服12</t>
        </is>
      </c>
      <c r="B6" s="3" t="n">
        <v>812</v>
      </c>
      <c r="C6" s="3" t="inlineStr">
        <is>
          <t>A</t>
        </is>
      </c>
      <c r="D6" s="3" t="n">
        <v>974.4</v>
      </c>
      <c r="E6" s="3" t="n">
        <v>5</v>
      </c>
      <c r="F6" s="4" t="n">
        <v>-1600</v>
      </c>
      <c r="G6" s="5" t="n">
        <v>25</v>
      </c>
    </row>
    <row r="7" s="6">
      <c r="A7" s="3" t="inlineStr">
        <is>
          <t>客服13</t>
        </is>
      </c>
      <c r="B7" s="3" t="n">
        <v>813</v>
      </c>
      <c r="C7" s="3" t="inlineStr">
        <is>
          <t>A</t>
        </is>
      </c>
      <c r="D7" s="3" t="n">
        <v>975.5999999999999</v>
      </c>
      <c r="E7" s="3" t="n">
        <v>5</v>
      </c>
      <c r="F7" s="4" t="n">
        <v>-1600</v>
      </c>
      <c r="G7" s="5" t="n">
        <v>25</v>
      </c>
    </row>
    <row r="8" s="6">
      <c r="A8" s="3" t="inlineStr">
        <is>
          <t>客服14</t>
        </is>
      </c>
      <c r="B8" s="3" t="n">
        <v>814</v>
      </c>
      <c r="C8" s="3" t="inlineStr">
        <is>
          <t>A</t>
        </is>
      </c>
      <c r="D8" s="3" t="n">
        <v>976.8</v>
      </c>
      <c r="E8" s="3" t="n">
        <v>5</v>
      </c>
      <c r="F8" s="4" t="n">
        <v>-1600</v>
      </c>
      <c r="G8" s="5" t="n">
        <v>25</v>
      </c>
    </row>
    <row r="9" s="6">
      <c r="A9" s="3" t="inlineStr">
        <is>
          <t>客服15</t>
        </is>
      </c>
      <c r="B9" s="3" t="n">
        <v>815</v>
      </c>
      <c r="C9" s="3" t="inlineStr">
        <is>
          <t>A</t>
        </is>
      </c>
      <c r="D9" s="3" t="n">
        <v>978</v>
      </c>
      <c r="E9" s="3" t="n">
        <v>5</v>
      </c>
      <c r="F9" s="4" t="n">
        <v>-1600</v>
      </c>
      <c r="G9" s="5" t="n">
        <v>25</v>
      </c>
    </row>
    <row r="10" s="6">
      <c r="A10" s="3" t="inlineStr">
        <is>
          <t>客服16</t>
        </is>
      </c>
      <c r="B10" s="3" t="n">
        <v>816</v>
      </c>
      <c r="C10" s="3" t="inlineStr">
        <is>
          <t>A</t>
        </is>
      </c>
      <c r="D10" s="3" t="n">
        <v>979.1999999999999</v>
      </c>
      <c r="E10" s="3" t="n">
        <v>5</v>
      </c>
      <c r="F10" s="4" t="n">
        <v>-1600</v>
      </c>
      <c r="G10" s="5" t="n">
        <v>25</v>
      </c>
    </row>
    <row r="11" s="6">
      <c r="A11" s="3" t="inlineStr">
        <is>
          <t>客服17</t>
        </is>
      </c>
      <c r="B11" s="3" t="n">
        <v>817</v>
      </c>
      <c r="C11" s="3" t="inlineStr">
        <is>
          <t>A</t>
        </is>
      </c>
      <c r="D11" s="3" t="n">
        <v>980.4</v>
      </c>
      <c r="E11" s="3" t="n">
        <v>5</v>
      </c>
      <c r="F11" s="4" t="n">
        <v>-1600</v>
      </c>
      <c r="G11" s="5" t="n">
        <v>25</v>
      </c>
    </row>
    <row r="12" s="6">
      <c r="A12" s="3" t="inlineStr">
        <is>
          <t>客服18</t>
        </is>
      </c>
      <c r="B12" s="3" t="n">
        <v>818</v>
      </c>
      <c r="C12" s="3" t="inlineStr">
        <is>
          <t>A</t>
        </is>
      </c>
      <c r="D12" s="3" t="n">
        <v>981.5999999999999</v>
      </c>
      <c r="E12" s="3" t="n">
        <v>5</v>
      </c>
      <c r="F12" s="4" t="n">
        <v>-1600</v>
      </c>
      <c r="G12" s="5" t="n">
        <v>25</v>
      </c>
    </row>
    <row r="13" s="6">
      <c r="A13" s="3" t="inlineStr">
        <is>
          <t>客服19</t>
        </is>
      </c>
      <c r="B13" s="3" t="n">
        <v>819</v>
      </c>
      <c r="C13" s="3" t="inlineStr">
        <is>
          <t>A</t>
        </is>
      </c>
      <c r="D13" s="3" t="n">
        <v>982.8</v>
      </c>
      <c r="E13" s="3" t="n">
        <v>5</v>
      </c>
      <c r="F13" s="4" t="n">
        <v>-1600</v>
      </c>
      <c r="G13" s="5" t="n">
        <v>25</v>
      </c>
    </row>
    <row r="14" s="6">
      <c r="A14" s="3" t="inlineStr">
        <is>
          <t>客服2</t>
        </is>
      </c>
      <c r="B14" s="3" t="n">
        <v>802</v>
      </c>
      <c r="C14" s="3" t="inlineStr">
        <is>
          <t>A</t>
        </is>
      </c>
      <c r="D14" s="3" t="n">
        <v>962.4</v>
      </c>
      <c r="E14" s="3" t="n">
        <v>5</v>
      </c>
      <c r="F14" s="4" t="n">
        <v>-1600</v>
      </c>
      <c r="G14" s="5" t="n">
        <v>25</v>
      </c>
    </row>
    <row r="15" s="6">
      <c r="A15" s="3" t="inlineStr">
        <is>
          <t>客服20</t>
        </is>
      </c>
      <c r="B15" s="3" t="n">
        <v>820</v>
      </c>
      <c r="C15" s="3" t="inlineStr">
        <is>
          <t>A</t>
        </is>
      </c>
      <c r="D15" s="3" t="n">
        <v>984</v>
      </c>
      <c r="E15" s="3" t="n">
        <v>5</v>
      </c>
      <c r="F15" s="4" t="n">
        <v>-1600</v>
      </c>
      <c r="G15" s="5" t="n">
        <v>25</v>
      </c>
    </row>
    <row r="16" s="6">
      <c r="A16" s="3" t="inlineStr">
        <is>
          <t>客服21</t>
        </is>
      </c>
      <c r="B16" s="3" t="n">
        <v>821</v>
      </c>
      <c r="C16" s="3" t="inlineStr">
        <is>
          <t>A</t>
        </is>
      </c>
      <c r="D16" s="3" t="n">
        <v>985.1999999999999</v>
      </c>
      <c r="E16" s="3" t="n">
        <v>5</v>
      </c>
      <c r="F16" s="4" t="n">
        <v>-1600</v>
      </c>
      <c r="G16" s="5" t="n">
        <v>25</v>
      </c>
    </row>
    <row r="17" s="6">
      <c r="A17" s="3" t="inlineStr">
        <is>
          <t>客服22</t>
        </is>
      </c>
      <c r="B17" s="3" t="n">
        <v>822</v>
      </c>
      <c r="C17" s="3" t="inlineStr">
        <is>
          <t>A</t>
        </is>
      </c>
      <c r="D17" s="3" t="n">
        <v>986.4</v>
      </c>
      <c r="E17" s="3" t="n">
        <v>5</v>
      </c>
      <c r="F17" s="4" t="n">
        <v>-1600</v>
      </c>
      <c r="G17" s="5" t="n">
        <v>25</v>
      </c>
    </row>
    <row r="18" s="6">
      <c r="A18" s="3" t="inlineStr">
        <is>
          <t>客服23</t>
        </is>
      </c>
      <c r="B18" s="3" t="n">
        <v>823</v>
      </c>
      <c r="C18" s="3" t="inlineStr">
        <is>
          <t>A</t>
        </is>
      </c>
      <c r="D18" s="3" t="n">
        <v>987.5999999999999</v>
      </c>
      <c r="E18" s="3" t="n">
        <v>5</v>
      </c>
      <c r="F18" s="4" t="n">
        <v>-1600</v>
      </c>
      <c r="G18" s="5" t="n">
        <v>25</v>
      </c>
    </row>
    <row r="19" s="6">
      <c r="A19" s="3" t="inlineStr">
        <is>
          <t>客服24</t>
        </is>
      </c>
      <c r="B19" s="3" t="n">
        <v>824</v>
      </c>
      <c r="C19" s="3" t="inlineStr">
        <is>
          <t>A</t>
        </is>
      </c>
      <c r="D19" s="3" t="n">
        <v>988.8</v>
      </c>
      <c r="E19" s="3" t="n">
        <v>5</v>
      </c>
      <c r="F19" s="4" t="n">
        <v>-1600</v>
      </c>
      <c r="G19" s="5" t="n">
        <v>25</v>
      </c>
    </row>
    <row r="20" s="6">
      <c r="A20" s="3" t="inlineStr">
        <is>
          <t>客服25</t>
        </is>
      </c>
      <c r="B20" s="3" t="n">
        <v>825</v>
      </c>
      <c r="C20" s="3" t="inlineStr">
        <is>
          <t>A</t>
        </is>
      </c>
      <c r="D20" s="3" t="n">
        <v>990</v>
      </c>
      <c r="E20" s="3" t="n">
        <v>5</v>
      </c>
      <c r="F20" s="4" t="n">
        <v>-1600</v>
      </c>
      <c r="G20" s="5" t="n">
        <v>25</v>
      </c>
    </row>
    <row r="21" s="6">
      <c r="A21" s="3" t="inlineStr">
        <is>
          <t>客服26</t>
        </is>
      </c>
      <c r="B21" s="3" t="n">
        <v>826</v>
      </c>
      <c r="C21" s="3" t="inlineStr">
        <is>
          <t>A</t>
        </is>
      </c>
      <c r="D21" s="3" t="n">
        <v>991.1999999999999</v>
      </c>
      <c r="E21" s="3" t="n">
        <v>5</v>
      </c>
      <c r="F21" s="4" t="n">
        <v>-1600</v>
      </c>
      <c r="G21" s="5" t="n">
        <v>25</v>
      </c>
    </row>
    <row r="22" s="6">
      <c r="A22" s="3" t="inlineStr">
        <is>
          <t>客服27</t>
        </is>
      </c>
      <c r="B22" s="3" t="n">
        <v>827</v>
      </c>
      <c r="C22" s="3" t="inlineStr">
        <is>
          <t>A</t>
        </is>
      </c>
      <c r="D22" s="3" t="n">
        <v>992.4</v>
      </c>
      <c r="E22" s="3" t="n">
        <v>5</v>
      </c>
      <c r="F22" s="4" t="n">
        <v>-1600</v>
      </c>
      <c r="G22" s="5" t="n">
        <v>25</v>
      </c>
    </row>
    <row r="23" s="6">
      <c r="A23" s="3" t="inlineStr">
        <is>
          <t>客服28</t>
        </is>
      </c>
      <c r="B23" s="3" t="n">
        <v>828</v>
      </c>
      <c r="C23" s="3" t="inlineStr">
        <is>
          <t>A</t>
        </is>
      </c>
      <c r="D23" s="3" t="n">
        <v>993.5999999999999</v>
      </c>
      <c r="E23" s="3" t="n">
        <v>5</v>
      </c>
      <c r="F23" s="4" t="n">
        <v>-1600</v>
      </c>
      <c r="G23" s="5" t="n">
        <v>25</v>
      </c>
    </row>
    <row r="24" s="6">
      <c r="A24" s="3" t="inlineStr">
        <is>
          <t>客服29</t>
        </is>
      </c>
      <c r="B24" s="3" t="n">
        <v>829</v>
      </c>
      <c r="C24" s="3" t="inlineStr">
        <is>
          <t>A</t>
        </is>
      </c>
      <c r="D24" s="3" t="n">
        <v>994.8</v>
      </c>
      <c r="E24" s="3" t="n">
        <v>5</v>
      </c>
      <c r="F24" s="4" t="n">
        <v>-1600</v>
      </c>
      <c r="G24" s="5" t="n">
        <v>25</v>
      </c>
    </row>
    <row r="25" s="6">
      <c r="A25" s="3" t="inlineStr">
        <is>
          <t>客服3</t>
        </is>
      </c>
      <c r="B25" s="3" t="n">
        <v>803</v>
      </c>
      <c r="C25" s="3" t="inlineStr">
        <is>
          <t>A</t>
        </is>
      </c>
      <c r="D25" s="3" t="n">
        <v>963.5999999999999</v>
      </c>
      <c r="E25" s="3" t="n">
        <v>5</v>
      </c>
      <c r="F25" s="4" t="n">
        <v>-1600</v>
      </c>
      <c r="G25" s="5" t="n">
        <v>25</v>
      </c>
    </row>
    <row r="26" s="6">
      <c r="A26" s="3" t="inlineStr">
        <is>
          <t>客服30</t>
        </is>
      </c>
      <c r="B26" s="3" t="n">
        <v>830</v>
      </c>
      <c r="C26" s="3" t="inlineStr">
        <is>
          <t>A</t>
        </is>
      </c>
      <c r="D26" s="3" t="n">
        <v>996</v>
      </c>
      <c r="E26" s="3" t="n">
        <v>5</v>
      </c>
      <c r="F26" s="4" t="n">
        <v>-1600</v>
      </c>
      <c r="G26" s="5" t="n">
        <v>25</v>
      </c>
    </row>
    <row r="27" s="6">
      <c r="A27" s="3" t="inlineStr">
        <is>
          <t>客服31</t>
        </is>
      </c>
      <c r="B27" s="3" t="n">
        <v>831</v>
      </c>
      <c r="C27" s="3" t="inlineStr">
        <is>
          <t>A</t>
        </is>
      </c>
      <c r="D27" s="3" t="n">
        <v>997.1999999999999</v>
      </c>
      <c r="E27" s="3" t="n">
        <v>5</v>
      </c>
      <c r="F27" s="4" t="n">
        <v>-1600</v>
      </c>
      <c r="G27" s="5" t="n">
        <v>25</v>
      </c>
    </row>
    <row r="28" s="6">
      <c r="A28" s="3" t="inlineStr">
        <is>
          <t>客服32</t>
        </is>
      </c>
      <c r="B28" s="3" t="n">
        <v>832</v>
      </c>
      <c r="C28" s="3" t="inlineStr">
        <is>
          <t>A</t>
        </is>
      </c>
      <c r="D28" s="3" t="n">
        <v>998.4</v>
      </c>
      <c r="E28" s="3" t="n">
        <v>5</v>
      </c>
      <c r="F28" s="4" t="n">
        <v>-1600</v>
      </c>
      <c r="G28" s="5" t="n">
        <v>25</v>
      </c>
    </row>
    <row r="29" s="6">
      <c r="A29" s="3" t="inlineStr">
        <is>
          <t>客服33</t>
        </is>
      </c>
      <c r="B29" s="3" t="n">
        <v>833</v>
      </c>
      <c r="C29" s="3" t="inlineStr">
        <is>
          <t>A</t>
        </is>
      </c>
      <c r="D29" s="3" t="n">
        <v>999.5999999999999</v>
      </c>
      <c r="E29" s="3" t="n">
        <v>5</v>
      </c>
      <c r="F29" s="4" t="n">
        <v>-1600</v>
      </c>
      <c r="G29" s="5" t="n">
        <v>25</v>
      </c>
    </row>
    <row r="30" s="6">
      <c r="A30" s="3" t="inlineStr">
        <is>
          <t>客服34</t>
        </is>
      </c>
      <c r="B30" s="3" t="n">
        <v>834</v>
      </c>
      <c r="C30" s="3" t="inlineStr">
        <is>
          <t>A</t>
        </is>
      </c>
      <c r="D30" s="3" t="n">
        <v>1000.8</v>
      </c>
      <c r="E30" s="3" t="n">
        <v>5</v>
      </c>
      <c r="F30" s="4" t="n">
        <v>-1600</v>
      </c>
      <c r="G30" s="5" t="n">
        <v>25</v>
      </c>
    </row>
    <row r="31" s="6">
      <c r="A31" s="3" t="inlineStr">
        <is>
          <t>客服35</t>
        </is>
      </c>
      <c r="B31" s="3" t="n">
        <v>835</v>
      </c>
      <c r="C31" s="3" t="inlineStr">
        <is>
          <t>A</t>
        </is>
      </c>
      <c r="D31" s="3" t="n">
        <v>1002</v>
      </c>
      <c r="E31" s="3" t="n">
        <v>5</v>
      </c>
      <c r="F31" s="4" t="n">
        <v>-1600</v>
      </c>
      <c r="G31" s="5" t="n">
        <v>25</v>
      </c>
    </row>
    <row r="32" s="6">
      <c r="A32" s="3" t="inlineStr">
        <is>
          <t>客服36</t>
        </is>
      </c>
      <c r="B32" s="3" t="n">
        <v>836</v>
      </c>
      <c r="C32" s="3" t="inlineStr">
        <is>
          <t>A</t>
        </is>
      </c>
      <c r="D32" s="3" t="n">
        <v>1003.2</v>
      </c>
      <c r="E32" s="3" t="n">
        <v>5</v>
      </c>
      <c r="F32" s="4" t="n">
        <v>-1600</v>
      </c>
      <c r="G32" s="5" t="n">
        <v>25</v>
      </c>
    </row>
    <row r="33" s="6">
      <c r="A33" s="3" t="inlineStr">
        <is>
          <t>客服37</t>
        </is>
      </c>
      <c r="B33" s="3" t="n">
        <v>837</v>
      </c>
      <c r="C33" s="3" t="inlineStr">
        <is>
          <t>A</t>
        </is>
      </c>
      <c r="D33" s="3" t="n">
        <v>1004.4</v>
      </c>
      <c r="E33" s="3" t="n">
        <v>5</v>
      </c>
      <c r="F33" s="4" t="n">
        <v>-1600</v>
      </c>
      <c r="G33" s="5" t="n">
        <v>25</v>
      </c>
    </row>
    <row r="34" s="6">
      <c r="A34" s="3" t="inlineStr">
        <is>
          <t>客服38</t>
        </is>
      </c>
      <c r="B34" s="3" t="n">
        <v>838</v>
      </c>
      <c r="C34" s="3" t="inlineStr">
        <is>
          <t>A</t>
        </is>
      </c>
      <c r="D34" s="3" t="n">
        <v>1005.6</v>
      </c>
      <c r="E34" s="3" t="n">
        <v>5</v>
      </c>
      <c r="F34" s="4" t="n">
        <v>-1600</v>
      </c>
      <c r="G34" s="5" t="n">
        <v>25</v>
      </c>
    </row>
    <row r="35" s="6">
      <c r="A35" s="3" t="inlineStr">
        <is>
          <t>客服39</t>
        </is>
      </c>
      <c r="B35" s="3" t="n">
        <v>839</v>
      </c>
      <c r="C35" s="3" t="inlineStr">
        <is>
          <t>A</t>
        </is>
      </c>
      <c r="D35" s="3" t="n">
        <v>1006.8</v>
      </c>
      <c r="E35" s="3" t="n">
        <v>5</v>
      </c>
      <c r="F35" s="4" t="n">
        <v>-1600</v>
      </c>
      <c r="G35" s="5" t="n">
        <v>25</v>
      </c>
    </row>
    <row r="36" s="6">
      <c r="A36" s="3" t="inlineStr">
        <is>
          <t>客服4</t>
        </is>
      </c>
      <c r="B36" s="3" t="n">
        <v>804</v>
      </c>
      <c r="C36" s="3" t="inlineStr">
        <is>
          <t>A</t>
        </is>
      </c>
      <c r="D36" s="3" t="n">
        <v>964.8</v>
      </c>
      <c r="E36" s="3" t="n">
        <v>5</v>
      </c>
      <c r="F36" s="4" t="n">
        <v>-1600</v>
      </c>
      <c r="G36" s="5" t="n">
        <v>25</v>
      </c>
    </row>
    <row r="37" s="6">
      <c r="A37" s="3" t="inlineStr">
        <is>
          <t>客服5</t>
        </is>
      </c>
      <c r="B37" s="3" t="n">
        <v>805</v>
      </c>
      <c r="C37" s="3" t="inlineStr">
        <is>
          <t>A</t>
        </is>
      </c>
      <c r="D37" s="3" t="n">
        <v>966</v>
      </c>
      <c r="E37" s="3" t="n">
        <v>5</v>
      </c>
      <c r="F37" s="4" t="n">
        <v>-1600</v>
      </c>
      <c r="G37" s="5" t="n">
        <v>25</v>
      </c>
    </row>
    <row r="38" s="6">
      <c r="A38" s="3" t="inlineStr">
        <is>
          <t>客服6</t>
        </is>
      </c>
      <c r="B38" s="3" t="n">
        <v>806</v>
      </c>
      <c r="C38" s="3" t="inlineStr">
        <is>
          <t>A</t>
        </is>
      </c>
      <c r="D38" s="3" t="n">
        <v>967.1999999999999</v>
      </c>
      <c r="E38" s="3" t="n">
        <v>5</v>
      </c>
      <c r="F38" s="4" t="n">
        <v>-1600</v>
      </c>
      <c r="G38" s="5" t="n">
        <v>25</v>
      </c>
    </row>
    <row r="39" s="6">
      <c r="A39" s="3" t="inlineStr">
        <is>
          <t>客服7</t>
        </is>
      </c>
      <c r="B39" s="3" t="n">
        <v>807</v>
      </c>
      <c r="C39" s="3" t="inlineStr">
        <is>
          <t>A</t>
        </is>
      </c>
      <c r="D39" s="3" t="n">
        <v>968.4</v>
      </c>
      <c r="E39" s="3" t="n">
        <v>5</v>
      </c>
      <c r="F39" s="4" t="n">
        <v>-1600</v>
      </c>
      <c r="G39" s="5" t="n">
        <v>25</v>
      </c>
    </row>
    <row r="40" s="6">
      <c r="A40" s="3" t="inlineStr">
        <is>
          <t>客服8</t>
        </is>
      </c>
      <c r="B40" s="3" t="n">
        <v>808</v>
      </c>
      <c r="C40" s="3" t="inlineStr">
        <is>
          <t>A</t>
        </is>
      </c>
      <c r="D40" s="3" t="n">
        <v>969.5999999999999</v>
      </c>
      <c r="E40" s="3" t="n">
        <v>5</v>
      </c>
      <c r="F40" s="4" t="n">
        <v>-1600</v>
      </c>
      <c r="G40" s="5" t="n">
        <v>25</v>
      </c>
    </row>
    <row r="41" s="6">
      <c r="A41" s="3" t="inlineStr">
        <is>
          <t>客服9</t>
        </is>
      </c>
      <c r="B41" s="3" t="n">
        <v>809</v>
      </c>
      <c r="C41" s="3" t="inlineStr">
        <is>
          <t>A</t>
        </is>
      </c>
      <c r="D41" s="3" t="n">
        <v>970.8</v>
      </c>
      <c r="E41" s="3" t="n">
        <v>5</v>
      </c>
      <c r="F41" s="4" t="n">
        <v>-1600</v>
      </c>
      <c r="G41" s="5" t="n">
        <v>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2006-09-17T00:00:00Z</dcterms:created>
  <dcterms:modified xsi:type="dcterms:W3CDTF">2026-03-05T02:33:50Z</dcterms:modified>
  <cp:lastModifiedBy>伊丽瞎掰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2052-6.12.1.8902</vt:lpwstr>
  </property>
  <property name="ICV" fmtid="{D5CDD505-2E9C-101B-9397-08002B2CF9AE}" pid="3">
    <vt:lpwstr>4CC2DF765A7A4D8DFE06A869253B198A_43</vt:lpwstr>
  </property>
</Properties>
</file>