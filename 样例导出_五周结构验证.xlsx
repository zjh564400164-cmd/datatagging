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  <sheet name="W2" sheetId="3" state="visible" r:id="rId3"/>
    <sheet name="W3" sheetId="4" state="visible" r:id="rId4"/>
    <sheet name="W4" sheetId="5" state="visible" r:id="rId5"/>
    <sheet name="W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164" fontId="6" fillId="5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workbookViewId="0">
      <selection activeCell="E18" sqref="E18"/>
    </sheetView>
  </sheetViews>
  <sheetFormatPr baseColWidth="8" defaultColWidth="9" defaultRowHeight="16.8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  <col width="13" customWidth="1" style="6" min="11" max="11"/>
    <col width="13" customWidth="1" style="6" min="12" max="12"/>
    <col width="13" customWidth="1" style="6" min="13" max="13"/>
    <col width="13" customWidth="1" style="6" min="14" max="14"/>
    <col width="13" customWidth="1" style="6" min="15" max="15"/>
    <col width="13" customWidth="1" style="6" min="16" max="16"/>
    <col width="13" customWidth="1" style="6" min="17" max="17"/>
    <col width="13" customWidth="1" style="6" min="18" max="18"/>
    <col width="13" customWidth="1" style="6" min="19" max="19"/>
    <col width="13" customWidth="1" style="6" min="20" max="20"/>
    <col width="13" customWidth="1" style="6" min="21" max="21"/>
    <col width="13" customWidth="1" style="6" min="22" max="22"/>
    <col width="13" customWidth="1" style="6" min="23" max="23"/>
  </cols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</row>
    <row r="2" s="6">
      <c r="A2" s="36" t="inlineStr">
        <is>
          <t>客服</t>
        </is>
      </c>
      <c r="B2" s="11" t="inlineStr">
        <is>
          <t>W1</t>
        </is>
      </c>
      <c r="E2" s="11" t="inlineStr">
        <is>
          <t>W2</t>
        </is>
      </c>
      <c r="H2" s="11" t="inlineStr">
        <is>
          <t>W3</t>
        </is>
      </c>
      <c r="K2" s="11" t="inlineStr">
        <is>
          <t>W4</t>
        </is>
      </c>
      <c r="N2" s="21" t="inlineStr">
        <is>
          <t>W5</t>
        </is>
      </c>
      <c r="Q2" s="21" t="n"/>
      <c r="R2" s="25" t="n"/>
      <c r="S2" s="25" t="n"/>
    </row>
    <row r="3" s="6">
      <c r="A3" s="37" t="n"/>
      <c r="B3" s="13" t="inlineStr">
        <is>
          <t>工时</t>
        </is>
      </c>
      <c r="C3" s="14" t="inlineStr">
        <is>
          <t>出勤</t>
        </is>
      </c>
      <c r="D3" s="14" t="inlineStr">
        <is>
          <t>超激励奖励</t>
        </is>
      </c>
      <c r="E3" s="13" t="inlineStr">
        <is>
          <t>工时</t>
        </is>
      </c>
      <c r="F3" s="14" t="inlineStr">
        <is>
          <t>出勤</t>
        </is>
      </c>
      <c r="G3" s="14" t="inlineStr">
        <is>
          <t>超激励奖励</t>
        </is>
      </c>
      <c r="H3" s="13" t="inlineStr">
        <is>
          <t>工时</t>
        </is>
      </c>
      <c r="I3" s="14" t="inlineStr">
        <is>
          <t>出勤</t>
        </is>
      </c>
      <c r="J3" s="14" t="inlineStr">
        <is>
          <t>超激励奖励</t>
        </is>
      </c>
      <c r="K3" s="13" t="inlineStr">
        <is>
          <t>工时</t>
        </is>
      </c>
      <c r="L3" s="14" t="inlineStr">
        <is>
          <t>出勤</t>
        </is>
      </c>
      <c r="M3" s="14" t="inlineStr">
        <is>
          <t>超激励奖励</t>
        </is>
      </c>
      <c r="N3" s="22" t="inlineStr">
        <is>
          <t>工时</t>
        </is>
      </c>
      <c r="O3" s="22" t="inlineStr">
        <is>
          <t>出勤</t>
        </is>
      </c>
      <c r="P3" s="22" t="inlineStr">
        <is>
          <t>超激励奖励</t>
        </is>
      </c>
      <c r="Q3" s="26" t="inlineStr">
        <is>
          <t>绩效达成W1</t>
        </is>
      </c>
      <c r="R3" s="27" t="inlineStr">
        <is>
          <t>绩效达成W2</t>
        </is>
      </c>
      <c r="S3" s="27" t="inlineStr">
        <is>
          <t>绩效达成W3</t>
        </is>
      </c>
      <c r="T3" t="inlineStr">
        <is>
          <t>绩效达成W4</t>
        </is>
      </c>
      <c r="U3" t="inlineStr">
        <is>
          <t>绩效达成W5</t>
        </is>
      </c>
      <c r="V3" t="inlineStr">
        <is>
          <t>平均绩效系数</t>
        </is>
      </c>
      <c r="W3" t="inlineStr">
        <is>
          <t>超激励绩效</t>
        </is>
      </c>
    </row>
    <row r="4" s="6">
      <c r="A4" s="15" t="inlineStr">
        <is>
          <t>张三</t>
        </is>
      </c>
      <c r="B4" s="38" t="n">
        <v>1001</v>
      </c>
      <c r="C4" s="38" t="n">
        <v>5</v>
      </c>
      <c r="D4" s="38" t="n">
        <v>25</v>
      </c>
      <c r="E4" s="38" t="n">
        <v>1002</v>
      </c>
      <c r="F4" s="38" t="n">
        <v>5</v>
      </c>
      <c r="G4" s="38" t="n">
        <v>25</v>
      </c>
      <c r="H4" s="38" t="n">
        <v>1003</v>
      </c>
      <c r="I4" s="38" t="n">
        <v>5</v>
      </c>
      <c r="J4" s="39" t="n">
        <v>25</v>
      </c>
      <c r="K4" s="39" t="n">
        <v>1004</v>
      </c>
      <c r="L4" s="38" t="n">
        <v>5</v>
      </c>
      <c r="M4" s="38" t="n">
        <v>25</v>
      </c>
      <c r="N4" s="40" t="n">
        <v>1005</v>
      </c>
      <c r="O4" s="40" t="n">
        <v>5</v>
      </c>
      <c r="P4" s="40" t="n">
        <v>25</v>
      </c>
      <c r="Q4" s="41">
        <f>IF(C4*480=0,0,B4/(C4*480))</f>
        <v/>
      </c>
      <c r="R4" s="42">
        <f>IF(F4*480=0,0,E4/(F4*480))</f>
        <v/>
      </c>
      <c r="S4" s="42">
        <f>IF(I4*480=0,0,H4/(I4*480))</f>
        <v/>
      </c>
      <c r="T4">
        <f>IF(L4*480=0,0,K4/(L4*480))</f>
        <v/>
      </c>
      <c r="U4">
        <f>IF(O4*480=0,0,N4/(O4*480))</f>
        <v/>
      </c>
      <c r="V4">
        <f>IFERROR(AVERAGE(Q4,R4,S4,T4,U4),0)</f>
        <v/>
      </c>
      <c r="W4">
        <f>SUM(D4,G4,J4,M4,P4)</f>
        <v/>
      </c>
    </row>
    <row r="5" s="6"/>
    <row r="6" s="6"/>
    <row r="7" s="6"/>
    <row r="8" s="6"/>
    <row r="9" s="6"/>
    <row r="10" s="6"/>
    <row r="11" s="6"/>
    <row r="12" s="6"/>
    <row r="13" s="6"/>
    <row r="14" s="6"/>
    <row r="15" s="6"/>
    <row r="16" s="6"/>
    <row r="17" s="6"/>
    <row r="18" s="6"/>
    <row r="19" s="6"/>
    <row r="20" s="6"/>
    <row r="21" s="6"/>
    <row r="22" s="6"/>
    <row r="23" s="6"/>
    <row r="24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/>
    <row r="38" s="6"/>
    <row r="39" ht="17" customHeight="1" s="6"/>
    <row r="40" s="6"/>
  </sheetData>
  <mergeCells count="7">
    <mergeCell ref="E2:G2"/>
    <mergeCell ref="K2:M2"/>
    <mergeCell ref="N2:P2"/>
    <mergeCell ref="A1:C1"/>
    <mergeCell ref="B2:D2"/>
    <mergeCell ref="H2:J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第1周</t>
        </is>
      </c>
      <c r="B1" s="43" t="n"/>
      <c r="C1" s="43" t="n"/>
      <c r="D1" s="43" t="n"/>
      <c r="E1" s="43" t="n"/>
      <c r="F1" s="43" t="n"/>
      <c r="G1" s="44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1001</v>
      </c>
      <c r="C3" s="3" t="inlineStr">
        <is>
          <t>A</t>
        </is>
      </c>
      <c r="D3" s="3" t="n">
        <v>1201.2</v>
      </c>
      <c r="E3" s="3" t="n">
        <v>5</v>
      </c>
      <c r="F3" s="4" t="n">
        <v>-1000</v>
      </c>
      <c r="G3" s="5" t="n">
        <v>25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第2周</t>
        </is>
      </c>
      <c r="B1" s="43" t="n"/>
      <c r="C1" s="43" t="n"/>
      <c r="D1" s="43" t="n"/>
      <c r="E1" s="43" t="n"/>
      <c r="F1" s="43" t="n"/>
      <c r="G1" s="44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1002</v>
      </c>
      <c r="C3" s="3" t="inlineStr">
        <is>
          <t>A</t>
        </is>
      </c>
      <c r="D3" s="3" t="n">
        <v>1202.4</v>
      </c>
      <c r="E3" s="3" t="n">
        <v>5</v>
      </c>
      <c r="F3" s="4" t="n">
        <v>-1000</v>
      </c>
      <c r="G3" s="5" t="n">
        <v>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26" sqref="B26"/>
    </sheetView>
  </sheetViews>
  <sheetFormatPr baseColWidth="8" defaultColWidth="9" defaultRowHeight="16.8"/>
  <cols>
    <col width="9.5" customWidth="1" style="6" min="6" max="6"/>
  </cols>
  <sheetData>
    <row r="1" ht="17" customHeight="1" s="6">
      <c r="A1" s="1" t="inlineStr">
        <is>
          <t>第3周</t>
        </is>
      </c>
      <c r="B1" s="43" t="n"/>
      <c r="C1" s="43" t="n"/>
      <c r="D1" s="43" t="n"/>
      <c r="E1" s="43" t="n"/>
      <c r="F1" s="43" t="n"/>
      <c r="G1" s="44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1003</v>
      </c>
      <c r="C3" s="3" t="inlineStr">
        <is>
          <t>A</t>
        </is>
      </c>
      <c r="D3" s="3" t="n">
        <v>1203.6</v>
      </c>
      <c r="E3" s="3" t="n">
        <v>5</v>
      </c>
      <c r="F3" s="4" t="n">
        <v>-1000</v>
      </c>
      <c r="G3" s="5" t="n">
        <v>25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8" defaultColWidth="9" defaultRowHeight="16.8"/>
  <cols>
    <col width="9.5" customWidth="1" style="6" min="4" max="4"/>
  </cols>
  <sheetData>
    <row r="1" ht="17" customHeight="1" s="6">
      <c r="A1" s="1" t="inlineStr">
        <is>
          <t>第4周</t>
        </is>
      </c>
      <c r="B1" s="43" t="n"/>
      <c r="C1" s="43" t="n"/>
      <c r="D1" s="43" t="n"/>
      <c r="E1" s="43" t="n"/>
      <c r="F1" s="43" t="n"/>
      <c r="G1" s="44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1004</v>
      </c>
      <c r="C3" s="3" t="inlineStr">
        <is>
          <t>A</t>
        </is>
      </c>
      <c r="D3" s="3" t="n">
        <v>1204.8</v>
      </c>
      <c r="E3" s="3" t="n">
        <v>5</v>
      </c>
      <c r="F3" s="4" t="n">
        <v>-1000</v>
      </c>
      <c r="G3" s="5" t="n">
        <v>25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ColWidth="9" defaultRowHeight="16.8"/>
  <sheetData>
    <row r="1" ht="17" customHeight="1" s="6">
      <c r="A1" s="1" t="inlineStr">
        <is>
          <t>第5周</t>
        </is>
      </c>
      <c r="B1" s="43" t="n"/>
      <c r="C1" s="43" t="n"/>
      <c r="D1" s="43" t="n"/>
      <c r="E1" s="43" t="n"/>
      <c r="F1" s="43" t="n"/>
      <c r="G1" s="44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张三</t>
        </is>
      </c>
      <c r="B3" s="3" t="n">
        <v>1005</v>
      </c>
      <c r="C3" s="3" t="inlineStr">
        <is>
          <t>A</t>
        </is>
      </c>
      <c r="D3" s="3" t="n">
        <v>1206</v>
      </c>
      <c r="E3" s="3" t="n">
        <v>5</v>
      </c>
      <c r="F3" s="4" t="n">
        <v>-1000</v>
      </c>
      <c r="G3" s="5" t="n">
        <v>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2006-09-16T16:00:00Z</dcterms:created>
  <dcterms:modified xsi:type="dcterms:W3CDTF">2026-03-05T02:15:09Z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