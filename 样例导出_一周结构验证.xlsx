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60" tabRatio="600" firstSheet="0" activeTab="0" autoFilterDateGrouping="1"/>
  </bookViews>
  <sheets>
    <sheet name="绩效表" sheetId="1" state="visible" r:id="rId1"/>
    <sheet name="W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30">
    <font>
      <name val="Calibri"/>
      <charset val="134"/>
      <color theme="1"/>
      <sz val="11"/>
    </font>
    <font>
      <name val="宋体-简"/>
      <charset val="134"/>
      <color theme="1"/>
      <sz val="11"/>
    </font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charset val="134"/>
      <color theme="1"/>
      <sz val="10"/>
    </font>
    <font>
      <name val="微软雅黑"/>
      <charset val="134"/>
      <b val="1"/>
      <color rgb="FF1F2329"/>
      <sz val="10"/>
    </font>
    <font>
      <name val="微软雅黑"/>
      <charset val="134"/>
      <color rgb="FFFF0000"/>
      <sz val="10"/>
    </font>
    <font>
      <name val="微软雅黑"/>
      <charset val="134"/>
      <b val="1"/>
      <sz val="10"/>
    </font>
    <font>
      <name val="等线"/>
      <charset val="134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" fillId="7" borderId="1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1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8" fillId="0" borderId="0" applyAlignment="1">
      <alignment vertical="center"/>
    </xf>
    <xf numFmtId="0" fontId="19" fillId="8" borderId="13" applyAlignment="1">
      <alignment vertical="center"/>
    </xf>
    <xf numFmtId="0" fontId="20" fillId="9" borderId="14" applyAlignment="1">
      <alignment vertical="center"/>
    </xf>
    <xf numFmtId="0" fontId="21" fillId="9" borderId="13" applyAlignment="1">
      <alignment vertical="center"/>
    </xf>
    <xf numFmtId="0" fontId="22" fillId="10" borderId="15" applyAlignment="1">
      <alignment vertical="center"/>
    </xf>
    <xf numFmtId="0" fontId="23" fillId="0" borderId="16" applyAlignment="1">
      <alignment vertical="center"/>
    </xf>
    <xf numFmtId="0" fontId="24" fillId="0" borderId="17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</cellStyleXfs>
  <cellXfs count="41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4" fillId="5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6" fillId="5" borderId="7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5" fontId="8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64" fontId="2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0" fillId="0" borderId="4" pivotButton="0" quotePrefix="0" xfId="0"/>
    <xf numFmtId="164" fontId="4" fillId="5" borderId="7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E18" sqref="E18"/>
    </sheetView>
  </sheetViews>
  <sheetFormatPr baseColWidth="8" defaultColWidth="9" defaultRowHeight="16.8"/>
  <cols>
    <col width="13" customWidth="1" style="6" min="1" max="1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</cols>
  <sheetData>
    <row r="1" s="6">
      <c r="A1" s="7" t="inlineStr">
        <is>
          <t>综合绩效</t>
        </is>
      </c>
      <c r="B1" s="33" t="n"/>
      <c r="C1" s="34" t="n"/>
      <c r="D1" s="9" t="n"/>
      <c r="E1" s="9" t="n"/>
      <c r="F1" s="35" t="n"/>
      <c r="G1" s="9" t="n"/>
    </row>
    <row r="2" s="6">
      <c r="A2" s="36" t="inlineStr">
        <is>
          <t>客服</t>
        </is>
      </c>
      <c r="B2" s="11" t="inlineStr">
        <is>
          <t>W1</t>
        </is>
      </c>
      <c r="E2" s="11" t="n"/>
    </row>
    <row r="3" s="6">
      <c r="A3" s="37" t="n"/>
      <c r="B3" s="13" t="inlineStr">
        <is>
          <t>工时</t>
        </is>
      </c>
      <c r="C3" s="14" t="inlineStr">
        <is>
          <t>出勤</t>
        </is>
      </c>
      <c r="D3" s="14" t="inlineStr">
        <is>
          <t>超激励奖励</t>
        </is>
      </c>
      <c r="E3" s="13" t="inlineStr">
        <is>
          <t>绩效达成W1</t>
        </is>
      </c>
      <c r="F3" s="14" t="inlineStr">
        <is>
          <t>平均绩效系数</t>
        </is>
      </c>
      <c r="G3" s="14" t="inlineStr">
        <is>
          <t>超激励绩效</t>
        </is>
      </c>
    </row>
    <row r="4" s="6">
      <c r="A4" s="15" t="inlineStr">
        <is>
          <t>张三</t>
        </is>
      </c>
      <c r="B4" s="38" t="n">
        <v>800</v>
      </c>
      <c r="C4" s="38" t="n">
        <v>5</v>
      </c>
      <c r="D4" s="38" t="n">
        <v>0</v>
      </c>
      <c r="E4" s="38">
        <f>IF(C4*480=0,0,B4/(C4*480))</f>
        <v/>
      </c>
      <c r="F4" s="38">
        <f>IFERROR(AVERAGE(E4),0)</f>
        <v/>
      </c>
      <c r="G4" s="38">
        <f>SUM(D4)</f>
        <v/>
      </c>
    </row>
    <row r="5" s="6">
      <c r="A5" s="15" t="inlineStr">
        <is>
          <t>李四</t>
        </is>
      </c>
      <c r="B5" s="38" t="n">
        <v>1800</v>
      </c>
      <c r="C5" s="38" t="n">
        <v>5</v>
      </c>
      <c r="D5" s="38" t="n">
        <v>0</v>
      </c>
      <c r="E5" s="38">
        <f>IF(C5*480=0,0,B5/(C5*480))</f>
        <v/>
      </c>
      <c r="F5" s="38">
        <f>IFERROR(AVERAGE(E5),0)</f>
        <v/>
      </c>
      <c r="G5" s="38">
        <f>SUM(D5)</f>
        <v/>
      </c>
    </row>
    <row r="6" s="6"/>
    <row r="7" s="6"/>
    <row r="8" s="6"/>
    <row r="9" s="6"/>
    <row r="10" s="6"/>
    <row r="11" s="6"/>
    <row r="12" s="6"/>
    <row r="13" s="6"/>
    <row r="14" s="6"/>
    <row r="15" s="6"/>
    <row r="16" s="6"/>
    <row r="17" s="6"/>
    <row r="18" s="6"/>
    <row r="19" s="6"/>
    <row r="20" s="6"/>
    <row r="21" s="6"/>
    <row r="22" s="6"/>
    <row r="23" s="6"/>
    <row r="24" s="6"/>
    <row r="26" s="6"/>
    <row r="27" s="6"/>
    <row r="28" s="6"/>
    <row r="29" s="6"/>
    <row r="30" s="6"/>
    <row r="31" s="6"/>
    <row r="32" s="6"/>
    <row r="33" s="6"/>
    <row r="34" s="6"/>
    <row r="35" s="6"/>
    <row r="36" s="6"/>
    <row r="37" s="6"/>
    <row r="38" s="6"/>
    <row r="39" ht="17" customHeight="1" s="6"/>
    <row r="40" s="6"/>
  </sheetData>
  <mergeCells count="3">
    <mergeCell ref="A1:C1"/>
    <mergeCell ref="B2:D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3" sqref="D3"/>
    </sheetView>
  </sheetViews>
  <sheetFormatPr baseColWidth="8" defaultColWidth="9" defaultRowHeight="16.8"/>
  <sheetData>
    <row r="1" ht="17" customHeight="1" s="6">
      <c r="A1" s="1" t="inlineStr">
        <is>
          <t>3月1日-3月7日</t>
        </is>
      </c>
      <c r="B1" s="39" t="n"/>
      <c r="C1" s="39" t="n"/>
      <c r="D1" s="39" t="n"/>
      <c r="E1" s="39" t="n"/>
      <c r="F1" s="39" t="n"/>
      <c r="G1" s="40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张三</t>
        </is>
      </c>
      <c r="B3" s="3" t="n">
        <v>800</v>
      </c>
      <c r="C3" s="3" t="inlineStr">
        <is>
          <t>A</t>
        </is>
      </c>
      <c r="D3" s="3" t="n">
        <v>960</v>
      </c>
      <c r="E3" s="3" t="n">
        <v>5</v>
      </c>
      <c r="F3" s="4" t="n">
        <v>-1600</v>
      </c>
      <c r="G3" s="5" t="n">
        <v>0</v>
      </c>
    </row>
    <row r="4">
      <c r="A4" s="3" t="inlineStr">
        <is>
          <t>李四</t>
        </is>
      </c>
      <c r="B4" s="3" t="n">
        <v>1800</v>
      </c>
      <c r="C4" s="3" t="inlineStr">
        <is>
          <t>B</t>
        </is>
      </c>
      <c r="D4" s="3" t="n">
        <v>1530</v>
      </c>
      <c r="E4" s="3" t="n">
        <v>5</v>
      </c>
      <c r="F4" s="4" t="n">
        <v>-870</v>
      </c>
      <c r="G4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2006-09-16T16:00:00Z</dcterms:created>
  <dcterms:modified xsi:type="dcterms:W3CDTF">2026-03-05T02:14:57Z</dcterms:modified>
  <cp:lastModifiedBy>伊丽瞎掰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2052-6.12.1.8902</vt:lpwstr>
  </property>
  <property name="ICV" fmtid="{D5CDD505-2E9C-101B-9397-08002B2CF9AE}" pid="3">
    <vt:lpwstr>4CC2DF765A7A4D8DFE06A869253B198A_43</vt:lpwstr>
  </property>
</Properties>
</file>